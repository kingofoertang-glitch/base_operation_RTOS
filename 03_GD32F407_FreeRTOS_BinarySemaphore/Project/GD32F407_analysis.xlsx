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<sst xmlns="http://schemas.openxmlformats.org/spreadsheetml/2006/main" count="63" uniqueCount="42">
  <si>
    <t>GD32F407</t>
  </si>
  <si>
    <t>heap_4.o</t>
  </si>
  <si>
    <t>usart0.o</t>
  </si>
  <si>
    <t>startup_gd32f407_427.o</t>
  </si>
  <si>
    <t>tasks.o</t>
  </si>
  <si>
    <t>queue.o</t>
  </si>
  <si>
    <t>timers.o</t>
  </si>
  <si>
    <t>main.o</t>
  </si>
  <si>
    <t>port.o</t>
  </si>
  <si>
    <t>mc_w.l</t>
  </si>
  <si>
    <t>stdout.o</t>
  </si>
  <si>
    <t>system_gd32f4xx.o</t>
  </si>
  <si>
    <t>bsp_keys.o</t>
  </si>
  <si>
    <t>gd32f4xx_usart.o</t>
  </si>
  <si>
    <t>printf3.o</t>
  </si>
  <si>
    <t>exti.o</t>
  </si>
  <si>
    <t>gd32f4xx_dma.o</t>
  </si>
  <si>
    <t>gd32f4xx_rcu.o</t>
  </si>
  <si>
    <t>gd32f4xx_gpio.o</t>
  </si>
  <si>
    <t>gd32f4xx_misc.o</t>
  </si>
  <si>
    <t>list.o</t>
  </si>
  <si>
    <t>init.o</t>
  </si>
  <si>
    <t>uidiv.o</t>
  </si>
  <si>
    <t>puts.o</t>
  </si>
  <si>
    <t>memseta.o</t>
  </si>
  <si>
    <t>memcpya.o</t>
  </si>
  <si>
    <t>handlers.o</t>
  </si>
  <si>
    <t>gd32f4xx_exti.o</t>
  </si>
  <si>
    <t>gd32f4xx_it.o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</si>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</sst>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ram_percent!$A$3:$A$34</c:f>
              <c:strCache>
                <c:ptCount val="32"/>
                <c:pt idx="0">
                  <c:v>heap_4.o</c:v>
                </c:pt>
                <c:pt idx="1">
                  <c:v>usart0.o</c:v>
                </c:pt>
                <c:pt idx="2">
                  <c:v>startup_gd32f407_427.o</c:v>
                </c:pt>
                <c:pt idx="3">
                  <c:v>tasks.o</c:v>
                </c:pt>
                <c:pt idx="4">
                  <c:v>queue.o</c:v>
                </c:pt>
                <c:pt idx="5">
                  <c:v>timers.o</c:v>
                </c:pt>
                <c:pt idx="6">
                  <c:v>main.o</c:v>
                </c:pt>
                <c:pt idx="7">
                  <c:v>port.o</c:v>
                </c:pt>
                <c:pt idx="8">
                  <c:v>mc_w.l</c:v>
                </c:pt>
                <c:pt idx="9">
                  <c:v>stdout.o</c:v>
                </c:pt>
                <c:pt idx="10">
                  <c:v>system_gd32f4xx.o</c:v>
                </c:pt>
                <c:pt idx="11">
                  <c:v>bsp_keys.o</c:v>
                </c:pt>
                <c:pt idx="31">
                  <c:v>Totals</c:v>
                </c:pt>
              </c:strCache>
            </c:strRef>
          </c:cat>
          <c:val>
            <c:numRef>
              <c:f>ram_percent!$B$3:$B$34</c:f>
              <c:numCache>
                <c:formatCode>General</c:formatCode>
                <c:ptCount val="32"/>
                <c:pt idx="0">
                  <c:v>96.22624969482422</c:v>
                </c:pt>
                <c:pt idx="1">
                  <c:v>1.287559032440186</c:v>
                </c:pt>
                <c:pt idx="2">
                  <c:v>1.282549023628235</c:v>
                </c:pt>
                <c:pt idx="3">
                  <c:v>1.001991510391235</c:v>
                </c:pt>
                <c:pt idx="4">
                  <c:v>0.08015931397676468</c:v>
                </c:pt>
                <c:pt idx="5">
                  <c:v>0.07514935731887817</c:v>
                </c:pt>
                <c:pt idx="6">
                  <c:v>0.01502987183630467</c:v>
                </c:pt>
                <c:pt idx="7">
                  <c:v>0.01127240434288979</c:v>
                </c:pt>
                <c:pt idx="8">
                  <c:v>0.005009957123547792</c:v>
                </c:pt>
                <c:pt idx="9">
                  <c:v>0.005009957123547792</c:v>
                </c:pt>
                <c:pt idx="10">
                  <c:v>0.005009957123547792</c:v>
                </c:pt>
                <c:pt idx="11">
                  <c:v>0.005009957123547792</c:v>
                </c:pt>
                <c:pt idx="3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flash_percent!$A$3:$A$34</c:f>
              <c:strCache>
                <c:ptCount val="32"/>
                <c:pt idx="0">
                  <c:v>tasks.o</c:v>
                </c:pt>
                <c:pt idx="1">
                  <c:v>queue.o</c:v>
                </c:pt>
                <c:pt idx="2">
                  <c:v>timers.o</c:v>
                </c:pt>
                <c:pt idx="3">
                  <c:v>port.o</c:v>
                </c:pt>
                <c:pt idx="4">
                  <c:v>mc_w.l</c:v>
                </c:pt>
                <c:pt idx="5">
                  <c:v>heap_4.o</c:v>
                </c:pt>
                <c:pt idx="6">
                  <c:v>gd32f4xx_usart.o</c:v>
                </c:pt>
                <c:pt idx="7">
                  <c:v>usart0.o</c:v>
                </c:pt>
                <c:pt idx="8">
                  <c:v>system_gd32f4xx.o</c:v>
                </c:pt>
                <c:pt idx="9">
                  <c:v>printf3.o</c:v>
                </c:pt>
                <c:pt idx="10">
                  <c:v>exti.o</c:v>
                </c:pt>
                <c:pt idx="11">
                  <c:v>gd32f4xx_dma.o</c:v>
                </c:pt>
                <c:pt idx="12">
                  <c:v>startup_gd32f407_427.o</c:v>
                </c:pt>
                <c:pt idx="13">
                  <c:v>main.o</c:v>
                </c:pt>
                <c:pt idx="14">
                  <c:v>gd32f4xx_rcu.o</c:v>
                </c:pt>
                <c:pt idx="15">
                  <c:v>gd32f4xx_gpio.o</c:v>
                </c:pt>
                <c:pt idx="16">
                  <c:v>bsp_keys.o</c:v>
                </c:pt>
                <c:pt idx="17">
                  <c:v>gd32f4xx_misc.o</c:v>
                </c:pt>
                <c:pt idx="18">
                  <c:v>list.o</c:v>
                </c:pt>
                <c:pt idx="19">
                  <c:v>init.o</c:v>
                </c:pt>
                <c:pt idx="20">
                  <c:v>uidiv.o</c:v>
                </c:pt>
                <c:pt idx="21">
                  <c:v>puts.o</c:v>
                </c:pt>
                <c:pt idx="22">
                  <c:v>memseta.o</c:v>
                </c:pt>
                <c:pt idx="23">
                  <c:v>memcpya.o</c:v>
                </c:pt>
                <c:pt idx="24">
                  <c:v>handlers.o</c:v>
                </c:pt>
                <c:pt idx="25">
                  <c:v>gd32f4xx_exti.o</c:v>
                </c:pt>
                <c:pt idx="26">
                  <c:v>gd32f4xx_it.o</c:v>
                </c:pt>
                <c:pt idx="27">
                  <c:v>entry9a.o</c:v>
                </c:pt>
                <c:pt idx="28">
                  <c:v>entry2.o</c:v>
                </c:pt>
                <c:pt idx="29">
                  <c:v>stdout.o</c:v>
                </c:pt>
                <c:pt idx="30">
                  <c:v>entry5.o</c:v>
                </c:pt>
                <c:pt idx="31">
                  <c:v>Totals</c:v>
                </c:pt>
              </c:strCache>
            </c:strRef>
          </c:cat>
          <c:val>
            <c:numRef>
              <c:f>flash_percent!$B$3:$B$34</c:f>
              <c:numCache>
                <c:formatCode>General</c:formatCode>
                <c:ptCount val="32"/>
                <c:pt idx="0">
                  <c:v>24.98612403869629</c:v>
                </c:pt>
                <c:pt idx="1">
                  <c:v>8.104036331176758</c:v>
                </c:pt>
                <c:pt idx="2">
                  <c:v>7.44588041305542</c:v>
                </c:pt>
                <c:pt idx="3">
                  <c:v>7.271429538726807</c:v>
                </c:pt>
                <c:pt idx="4">
                  <c:v>5.756878852844238</c:v>
                </c:pt>
                <c:pt idx="5">
                  <c:v>5.265244483947754</c:v>
                </c:pt>
                <c:pt idx="6">
                  <c:v>4.694314479827881</c:v>
                </c:pt>
                <c:pt idx="7">
                  <c:v>4.472286224365234</c:v>
                </c:pt>
                <c:pt idx="8">
                  <c:v>4.234398365020752</c:v>
                </c:pt>
                <c:pt idx="9">
                  <c:v>3.742764234542847</c:v>
                </c:pt>
                <c:pt idx="10">
                  <c:v>3.726905107498169</c:v>
                </c:pt>
                <c:pt idx="11">
                  <c:v>3.441440105438232</c:v>
                </c:pt>
                <c:pt idx="12">
                  <c:v>3.39386248588562</c:v>
                </c:pt>
                <c:pt idx="13">
                  <c:v>2.410593986511231</c:v>
                </c:pt>
                <c:pt idx="14">
                  <c:v>2.28372049331665</c:v>
                </c:pt>
                <c:pt idx="15">
                  <c:v>2.172706365585327</c:v>
                </c:pt>
                <c:pt idx="16">
                  <c:v>1.63349461555481</c:v>
                </c:pt>
                <c:pt idx="17">
                  <c:v>1.427325367927551</c:v>
                </c:pt>
                <c:pt idx="18">
                  <c:v>1.189437747001648</c:v>
                </c:pt>
                <c:pt idx="19">
                  <c:v>0.3806200921535492</c:v>
                </c:pt>
                <c:pt idx="20">
                  <c:v>0.3489017486572266</c:v>
                </c:pt>
                <c:pt idx="21">
                  <c:v>0.2854650616645813</c:v>
                </c:pt>
                <c:pt idx="22">
                  <c:v>0.2854650616645813</c:v>
                </c:pt>
                <c:pt idx="23">
                  <c:v>0.2854650616645813</c:v>
                </c:pt>
                <c:pt idx="24">
                  <c:v>0.2378875613212585</c:v>
                </c:pt>
                <c:pt idx="25">
                  <c:v>0.2378875613212585</c:v>
                </c:pt>
                <c:pt idx="26">
                  <c:v>0.0951550230383873</c:v>
                </c:pt>
                <c:pt idx="27">
                  <c:v>0.06343667954206467</c:v>
                </c:pt>
                <c:pt idx="28">
                  <c:v>0.06343667954206467</c:v>
                </c:pt>
                <c:pt idx="29">
                  <c:v>0.03171833977103233</c:v>
                </c:pt>
                <c:pt idx="30">
                  <c:v>0.03171833977103233</c:v>
                </c:pt>
                <c:pt idx="3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4" totalsRowCount="1">
  <autoFilter ref="A2:H33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4" totalsRowCount="1">
  <autoFilter ref="A2:H33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4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32</v>
      </c>
      <c r="B2" t="s">
        <v>34</v>
      </c>
      <c r="C2" t="s">
        <v>35</v>
      </c>
      <c r="D2" t="s">
        <v>36</v>
      </c>
      <c r="E2" t="s">
        <v>37</v>
      </c>
      <c r="F2" t="s">
        <v>38</v>
      </c>
      <c r="G2" t="s">
        <v>39</v>
      </c>
      <c r="H2" t="s">
        <v>40</v>
      </c>
    </row>
    <row r="3" spans="1:8">
      <c r="A3" s="1" t="s">
        <v>1</v>
      </c>
      <c r="B3" s="2">
        <v>96.22624969482422</v>
      </c>
      <c r="C3" s="1">
        <v>76828</v>
      </c>
      <c r="D3" s="1">
        <v>664</v>
      </c>
      <c r="E3" s="1">
        <v>626</v>
      </c>
      <c r="F3" s="1">
        <v>38</v>
      </c>
      <c r="G3" s="1">
        <v>0</v>
      </c>
      <c r="H3" s="1">
        <v>76828</v>
      </c>
    </row>
    <row r="4" spans="1:8">
      <c r="A4" s="1" t="s">
        <v>2</v>
      </c>
      <c r="B4" s="2">
        <v>1.287559032440186</v>
      </c>
      <c r="C4" s="1">
        <v>1028</v>
      </c>
      <c r="D4" s="1">
        <v>564</v>
      </c>
      <c r="E4" s="1">
        <v>564</v>
      </c>
      <c r="F4" s="1">
        <v>0</v>
      </c>
      <c r="G4" s="1">
        <v>0</v>
      </c>
      <c r="H4" s="1">
        <v>1028</v>
      </c>
    </row>
    <row r="5" spans="1:8">
      <c r="A5" s="1" t="s">
        <v>3</v>
      </c>
      <c r="B5" s="2">
        <v>1.282549023628235</v>
      </c>
      <c r="C5" s="1">
        <v>1024</v>
      </c>
      <c r="D5" s="1">
        <v>428</v>
      </c>
      <c r="E5" s="1">
        <v>36</v>
      </c>
      <c r="F5" s="1">
        <v>392</v>
      </c>
      <c r="G5" s="1">
        <v>0</v>
      </c>
      <c r="H5" s="1">
        <v>1024</v>
      </c>
    </row>
    <row r="6" spans="1:8">
      <c r="A6" s="1" t="s">
        <v>4</v>
      </c>
      <c r="B6" s="2">
        <v>1.001991510391235</v>
      </c>
      <c r="C6" s="1">
        <v>800</v>
      </c>
      <c r="D6" s="1">
        <v>3151</v>
      </c>
      <c r="E6" s="1">
        <v>3108</v>
      </c>
      <c r="F6" s="1">
        <v>43</v>
      </c>
      <c r="G6" s="1">
        <v>0</v>
      </c>
      <c r="H6" s="1">
        <v>800</v>
      </c>
    </row>
    <row r="7" spans="1:8">
      <c r="A7" s="1" t="s">
        <v>5</v>
      </c>
      <c r="B7" s="2">
        <v>0.08015931397676468</v>
      </c>
      <c r="C7" s="1">
        <v>64</v>
      </c>
      <c r="D7" s="1">
        <v>1022</v>
      </c>
      <c r="E7" s="1">
        <v>1002</v>
      </c>
      <c r="F7" s="1">
        <v>20</v>
      </c>
      <c r="G7" s="1">
        <v>0</v>
      </c>
      <c r="H7" s="1">
        <v>64</v>
      </c>
    </row>
    <row r="8" spans="1:8">
      <c r="A8" s="1" t="s">
        <v>6</v>
      </c>
      <c r="B8" s="2">
        <v>0.07514935731887817</v>
      </c>
      <c r="C8" s="1">
        <v>60</v>
      </c>
      <c r="D8" s="1">
        <v>939</v>
      </c>
      <c r="E8" s="1">
        <v>918</v>
      </c>
      <c r="F8" s="1">
        <v>21</v>
      </c>
      <c r="G8" s="1">
        <v>0</v>
      </c>
      <c r="H8" s="1">
        <v>60</v>
      </c>
    </row>
    <row r="9" spans="1:8">
      <c r="A9" s="1" t="s">
        <v>7</v>
      </c>
      <c r="B9" s="2">
        <v>0.01502987183630467</v>
      </c>
      <c r="C9" s="1">
        <v>12</v>
      </c>
      <c r="D9" s="1">
        <v>304</v>
      </c>
      <c r="E9" s="1">
        <v>304</v>
      </c>
      <c r="F9" s="1">
        <v>0</v>
      </c>
      <c r="G9" s="1">
        <v>0</v>
      </c>
      <c r="H9" s="1">
        <v>12</v>
      </c>
    </row>
    <row r="10" spans="1:8">
      <c r="A10" s="1" t="s">
        <v>8</v>
      </c>
      <c r="B10" s="2">
        <v>0.01127240434288979</v>
      </c>
      <c r="C10" s="1">
        <v>9</v>
      </c>
      <c r="D10" s="1">
        <v>917</v>
      </c>
      <c r="E10" s="1">
        <v>872</v>
      </c>
      <c r="F10" s="1">
        <v>41</v>
      </c>
      <c r="G10" s="1">
        <v>4</v>
      </c>
      <c r="H10" s="1">
        <v>5</v>
      </c>
    </row>
    <row r="11" spans="1:8">
      <c r="A11" s="1" t="s">
        <v>9</v>
      </c>
      <c r="B11" s="2">
        <v>0.005009957123547792</v>
      </c>
      <c r="C11" s="1">
        <v>4</v>
      </c>
      <c r="D11" s="1">
        <v>726</v>
      </c>
      <c r="E11" s="1">
        <v>722</v>
      </c>
      <c r="F11" s="1">
        <v>0</v>
      </c>
      <c r="G11" s="1">
        <v>4</v>
      </c>
      <c r="H11" s="1">
        <v>0</v>
      </c>
    </row>
    <row r="12" spans="1:8">
      <c r="A12" s="1" t="s">
        <v>10</v>
      </c>
      <c r="B12" s="2">
        <v>0.005009957123547792</v>
      </c>
      <c r="C12" s="1">
        <v>4</v>
      </c>
      <c r="D12" s="1">
        <v>4</v>
      </c>
      <c r="E12" s="1">
        <v>0</v>
      </c>
      <c r="F12" s="1">
        <v>0</v>
      </c>
      <c r="G12" s="1">
        <v>4</v>
      </c>
      <c r="H12" s="1">
        <v>0</v>
      </c>
    </row>
    <row r="13" spans="1:8">
      <c r="A13" s="1" t="s">
        <v>11</v>
      </c>
      <c r="B13" s="2">
        <v>0.005009957123547792</v>
      </c>
      <c r="C13" s="1">
        <v>4</v>
      </c>
      <c r="D13" s="1">
        <v>534</v>
      </c>
      <c r="E13" s="1">
        <v>530</v>
      </c>
      <c r="F13" s="1">
        <v>0</v>
      </c>
      <c r="G13" s="1">
        <v>4</v>
      </c>
      <c r="H13" s="1">
        <v>0</v>
      </c>
    </row>
    <row r="14" spans="1:8">
      <c r="A14" s="1" t="s">
        <v>12</v>
      </c>
      <c r="B14" s="2">
        <v>0.005009957123547792</v>
      </c>
      <c r="C14" s="1">
        <v>4</v>
      </c>
      <c r="D14" s="1">
        <v>206</v>
      </c>
      <c r="E14" s="1">
        <v>202</v>
      </c>
      <c r="F14" s="1">
        <v>0</v>
      </c>
      <c r="G14" s="1">
        <v>4</v>
      </c>
      <c r="H14" s="1">
        <v>0</v>
      </c>
    </row>
    <row r="34" spans="1:8">
      <c r="A34" t="s">
        <v>33</v>
      </c>
      <c r="B34">
        <f>SUBTOTAL(109,[ram_percent])</f>
        <v>0</v>
      </c>
      <c r="C34">
        <f>SUBTOTAL(109,[ram])</f>
        <v>0</v>
      </c>
      <c r="D34">
        <f>SUBTOTAL(109,[flash])</f>
        <v>0</v>
      </c>
      <c r="E34">
        <f>SUBTOTAL(109,[Code])</f>
        <v>0</v>
      </c>
      <c r="F34">
        <f>SUBTOTAL(109,[RO_data])</f>
        <v>0</v>
      </c>
      <c r="G34">
        <f>SUBTOTAL(109,[RW_data])</f>
        <v>0</v>
      </c>
      <c r="H3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4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32</v>
      </c>
      <c r="B2" t="s">
        <v>41</v>
      </c>
      <c r="C2" t="s">
        <v>36</v>
      </c>
      <c r="D2" t="s">
        <v>35</v>
      </c>
      <c r="E2" t="s">
        <v>37</v>
      </c>
      <c r="F2" t="s">
        <v>38</v>
      </c>
      <c r="G2" t="s">
        <v>39</v>
      </c>
      <c r="H2" t="s">
        <v>40</v>
      </c>
    </row>
    <row r="3" spans="1:8">
      <c r="A3" s="1" t="s">
        <v>4</v>
      </c>
      <c r="B3" s="2">
        <v>24.98612403869629</v>
      </c>
      <c r="C3" s="1">
        <v>3151</v>
      </c>
      <c r="D3" s="1">
        <v>800</v>
      </c>
      <c r="E3" s="1">
        <v>3108</v>
      </c>
      <c r="F3" s="1">
        <v>43</v>
      </c>
      <c r="G3" s="1">
        <v>0</v>
      </c>
      <c r="H3" s="1">
        <v>800</v>
      </c>
    </row>
    <row r="4" spans="1:8">
      <c r="A4" s="1" t="s">
        <v>5</v>
      </c>
      <c r="B4" s="2">
        <v>8.104036331176758</v>
      </c>
      <c r="C4" s="1">
        <v>1022</v>
      </c>
      <c r="D4" s="1">
        <v>64</v>
      </c>
      <c r="E4" s="1">
        <v>1002</v>
      </c>
      <c r="F4" s="1">
        <v>20</v>
      </c>
      <c r="G4" s="1">
        <v>0</v>
      </c>
      <c r="H4" s="1">
        <v>64</v>
      </c>
    </row>
    <row r="5" spans="1:8">
      <c r="A5" s="1" t="s">
        <v>6</v>
      </c>
      <c r="B5" s="2">
        <v>7.44588041305542</v>
      </c>
      <c r="C5" s="1">
        <v>939</v>
      </c>
      <c r="D5" s="1">
        <v>60</v>
      </c>
      <c r="E5" s="1">
        <v>918</v>
      </c>
      <c r="F5" s="1">
        <v>21</v>
      </c>
      <c r="G5" s="1">
        <v>0</v>
      </c>
      <c r="H5" s="1">
        <v>60</v>
      </c>
    </row>
    <row r="6" spans="1:8">
      <c r="A6" s="1" t="s">
        <v>8</v>
      </c>
      <c r="B6" s="2">
        <v>7.271429538726807</v>
      </c>
      <c r="C6" s="1">
        <v>917</v>
      </c>
      <c r="D6" s="1">
        <v>9</v>
      </c>
      <c r="E6" s="1">
        <v>872</v>
      </c>
      <c r="F6" s="1">
        <v>41</v>
      </c>
      <c r="G6" s="1">
        <v>4</v>
      </c>
      <c r="H6" s="1">
        <v>5</v>
      </c>
    </row>
    <row r="7" spans="1:8">
      <c r="A7" s="1" t="s">
        <v>9</v>
      </c>
      <c r="B7" s="2">
        <v>5.756878852844238</v>
      </c>
      <c r="C7" s="1">
        <v>726</v>
      </c>
      <c r="D7" s="1">
        <v>4</v>
      </c>
      <c r="E7" s="1">
        <v>722</v>
      </c>
      <c r="F7" s="1">
        <v>0</v>
      </c>
      <c r="G7" s="1">
        <v>4</v>
      </c>
      <c r="H7" s="1">
        <v>0</v>
      </c>
    </row>
    <row r="8" spans="1:8">
      <c r="A8" s="1" t="s">
        <v>1</v>
      </c>
      <c r="B8" s="2">
        <v>5.265244483947754</v>
      </c>
      <c r="C8" s="1">
        <v>664</v>
      </c>
      <c r="D8" s="1">
        <v>76828</v>
      </c>
      <c r="E8" s="1">
        <v>626</v>
      </c>
      <c r="F8" s="1">
        <v>38</v>
      </c>
      <c r="G8" s="1">
        <v>0</v>
      </c>
      <c r="H8" s="1">
        <v>76828</v>
      </c>
    </row>
    <row r="9" spans="1:8">
      <c r="A9" s="1" t="s">
        <v>13</v>
      </c>
      <c r="B9" s="2">
        <v>4.694314479827881</v>
      </c>
      <c r="C9" s="1">
        <v>592</v>
      </c>
      <c r="D9" s="1">
        <v>0</v>
      </c>
      <c r="E9" s="1">
        <v>592</v>
      </c>
      <c r="F9" s="1">
        <v>0</v>
      </c>
      <c r="G9" s="1">
        <v>0</v>
      </c>
      <c r="H9" s="1">
        <v>0</v>
      </c>
    </row>
    <row r="10" spans="1:8">
      <c r="A10" s="1" t="s">
        <v>2</v>
      </c>
      <c r="B10" s="2">
        <v>4.472286224365234</v>
      </c>
      <c r="C10" s="1">
        <v>564</v>
      </c>
      <c r="D10" s="1">
        <v>1028</v>
      </c>
      <c r="E10" s="1">
        <v>564</v>
      </c>
      <c r="F10" s="1">
        <v>0</v>
      </c>
      <c r="G10" s="1">
        <v>0</v>
      </c>
      <c r="H10" s="1">
        <v>1028</v>
      </c>
    </row>
    <row r="11" spans="1:8">
      <c r="A11" s="1" t="s">
        <v>11</v>
      </c>
      <c r="B11" s="2">
        <v>4.234398365020752</v>
      </c>
      <c r="C11" s="1">
        <v>534</v>
      </c>
      <c r="D11" s="1">
        <v>4</v>
      </c>
      <c r="E11" s="1">
        <v>530</v>
      </c>
      <c r="F11" s="1">
        <v>0</v>
      </c>
      <c r="G11" s="1">
        <v>4</v>
      </c>
      <c r="H11" s="1">
        <v>0</v>
      </c>
    </row>
    <row r="12" spans="1:8">
      <c r="A12" s="1" t="s">
        <v>14</v>
      </c>
      <c r="B12" s="2">
        <v>3.742764234542847</v>
      </c>
      <c r="C12" s="1">
        <v>472</v>
      </c>
      <c r="D12" s="1">
        <v>0</v>
      </c>
      <c r="E12" s="1">
        <v>472</v>
      </c>
      <c r="F12" s="1">
        <v>0</v>
      </c>
      <c r="G12" s="1">
        <v>0</v>
      </c>
      <c r="H12" s="1">
        <v>0</v>
      </c>
    </row>
    <row r="13" spans="1:8">
      <c r="A13" s="1" t="s">
        <v>15</v>
      </c>
      <c r="B13" s="2">
        <v>3.726905107498169</v>
      </c>
      <c r="C13" s="1">
        <v>470</v>
      </c>
      <c r="D13" s="1">
        <v>0</v>
      </c>
      <c r="E13" s="1">
        <v>470</v>
      </c>
      <c r="F13" s="1">
        <v>0</v>
      </c>
      <c r="G13" s="1">
        <v>0</v>
      </c>
      <c r="H13" s="1">
        <v>0</v>
      </c>
    </row>
    <row r="14" spans="1:8">
      <c r="A14" s="1" t="s">
        <v>16</v>
      </c>
      <c r="B14" s="2">
        <v>3.441440105438232</v>
      </c>
      <c r="C14" s="1">
        <v>434</v>
      </c>
      <c r="D14" s="1">
        <v>0</v>
      </c>
      <c r="E14" s="1">
        <v>434</v>
      </c>
      <c r="F14" s="1">
        <v>0</v>
      </c>
      <c r="G14" s="1">
        <v>0</v>
      </c>
      <c r="H14" s="1">
        <v>0</v>
      </c>
    </row>
    <row r="15" spans="1:8">
      <c r="A15" s="1" t="s">
        <v>3</v>
      </c>
      <c r="B15" s="2">
        <v>3.39386248588562</v>
      </c>
      <c r="C15" s="1">
        <v>428</v>
      </c>
      <c r="D15" s="1">
        <v>1024</v>
      </c>
      <c r="E15" s="1">
        <v>36</v>
      </c>
      <c r="F15" s="1">
        <v>392</v>
      </c>
      <c r="G15" s="1">
        <v>0</v>
      </c>
      <c r="H15" s="1">
        <v>1024</v>
      </c>
    </row>
    <row r="16" spans="1:8">
      <c r="A16" s="1" t="s">
        <v>7</v>
      </c>
      <c r="B16" s="2">
        <v>2.410593986511231</v>
      </c>
      <c r="C16" s="1">
        <v>304</v>
      </c>
      <c r="D16" s="1">
        <v>12</v>
      </c>
      <c r="E16" s="1">
        <v>304</v>
      </c>
      <c r="F16" s="1">
        <v>0</v>
      </c>
      <c r="G16" s="1">
        <v>0</v>
      </c>
      <c r="H16" s="1">
        <v>12</v>
      </c>
    </row>
    <row r="17" spans="1:8">
      <c r="A17" s="1" t="s">
        <v>17</v>
      </c>
      <c r="B17" s="2">
        <v>2.28372049331665</v>
      </c>
      <c r="C17" s="1">
        <v>288</v>
      </c>
      <c r="D17" s="1">
        <v>0</v>
      </c>
      <c r="E17" s="1">
        <v>280</v>
      </c>
      <c r="F17" s="1">
        <v>8</v>
      </c>
      <c r="G17" s="1">
        <v>0</v>
      </c>
      <c r="H17" s="1">
        <v>0</v>
      </c>
    </row>
    <row r="18" spans="1:8">
      <c r="A18" s="1" t="s">
        <v>18</v>
      </c>
      <c r="B18" s="2">
        <v>2.172706365585327</v>
      </c>
      <c r="C18" s="1">
        <v>274</v>
      </c>
      <c r="D18" s="1">
        <v>0</v>
      </c>
      <c r="E18" s="1">
        <v>274</v>
      </c>
      <c r="F18" s="1">
        <v>0</v>
      </c>
      <c r="G18" s="1">
        <v>0</v>
      </c>
      <c r="H18" s="1">
        <v>0</v>
      </c>
    </row>
    <row r="19" spans="1:8">
      <c r="A19" s="1" t="s">
        <v>12</v>
      </c>
      <c r="B19" s="2">
        <v>1.63349461555481</v>
      </c>
      <c r="C19" s="1">
        <v>206</v>
      </c>
      <c r="D19" s="1">
        <v>4</v>
      </c>
      <c r="E19" s="1">
        <v>202</v>
      </c>
      <c r="F19" s="1">
        <v>0</v>
      </c>
      <c r="G19" s="1">
        <v>4</v>
      </c>
      <c r="H19" s="1">
        <v>0</v>
      </c>
    </row>
    <row r="20" spans="1:8">
      <c r="A20" s="1" t="s">
        <v>19</v>
      </c>
      <c r="B20" s="2">
        <v>1.427325367927551</v>
      </c>
      <c r="C20" s="1">
        <v>180</v>
      </c>
      <c r="D20" s="1">
        <v>0</v>
      </c>
      <c r="E20" s="1">
        <v>180</v>
      </c>
      <c r="F20" s="1">
        <v>0</v>
      </c>
      <c r="G20" s="1">
        <v>0</v>
      </c>
      <c r="H20" s="1">
        <v>0</v>
      </c>
    </row>
    <row r="21" spans="1:8">
      <c r="A21" s="1" t="s">
        <v>20</v>
      </c>
      <c r="B21" s="2">
        <v>1.189437747001648</v>
      </c>
      <c r="C21" s="1">
        <v>150</v>
      </c>
      <c r="D21" s="1">
        <v>0</v>
      </c>
      <c r="E21" s="1">
        <v>150</v>
      </c>
      <c r="F21" s="1">
        <v>0</v>
      </c>
      <c r="G21" s="1">
        <v>0</v>
      </c>
      <c r="H21" s="1">
        <v>0</v>
      </c>
    </row>
    <row r="22" spans="1:8">
      <c r="A22" s="1" t="s">
        <v>21</v>
      </c>
      <c r="B22" s="2">
        <v>0.3806200921535492</v>
      </c>
      <c r="C22" s="1">
        <v>48</v>
      </c>
      <c r="D22" s="1">
        <v>0</v>
      </c>
      <c r="E22" s="1">
        <v>48</v>
      </c>
      <c r="F22" s="1">
        <v>0</v>
      </c>
      <c r="G22" s="1">
        <v>0</v>
      </c>
      <c r="H22" s="1">
        <v>0</v>
      </c>
    </row>
    <row r="23" spans="1:8">
      <c r="A23" s="1" t="s">
        <v>22</v>
      </c>
      <c r="B23" s="2">
        <v>0.3489017486572266</v>
      </c>
      <c r="C23" s="1">
        <v>44</v>
      </c>
      <c r="D23" s="1">
        <v>0</v>
      </c>
      <c r="E23" s="1">
        <v>44</v>
      </c>
      <c r="F23" s="1">
        <v>0</v>
      </c>
      <c r="G23" s="1">
        <v>0</v>
      </c>
      <c r="H23" s="1">
        <v>0</v>
      </c>
    </row>
    <row r="24" spans="1:8">
      <c r="A24" s="1" t="s">
        <v>23</v>
      </c>
      <c r="B24" s="2">
        <v>0.2854650616645813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24</v>
      </c>
      <c r="B25" s="2">
        <v>0.2854650616645813</v>
      </c>
      <c r="C25" s="1">
        <v>36</v>
      </c>
      <c r="D25" s="1">
        <v>0</v>
      </c>
      <c r="E25" s="1">
        <v>36</v>
      </c>
      <c r="F25" s="1">
        <v>0</v>
      </c>
      <c r="G25" s="1">
        <v>0</v>
      </c>
      <c r="H25" s="1">
        <v>0</v>
      </c>
    </row>
    <row r="26" spans="1:8">
      <c r="A26" s="1" t="s">
        <v>25</v>
      </c>
      <c r="B26" s="2">
        <v>0.2854650616645813</v>
      </c>
      <c r="C26" s="1">
        <v>36</v>
      </c>
      <c r="D26" s="1">
        <v>0</v>
      </c>
      <c r="E26" s="1">
        <v>36</v>
      </c>
      <c r="F26" s="1">
        <v>0</v>
      </c>
      <c r="G26" s="1">
        <v>0</v>
      </c>
      <c r="H26" s="1">
        <v>0</v>
      </c>
    </row>
    <row r="27" spans="1:8">
      <c r="A27" s="1" t="s">
        <v>26</v>
      </c>
      <c r="B27" s="2">
        <v>0.2378875613212585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27</v>
      </c>
      <c r="B28" s="2">
        <v>0.2378875613212585</v>
      </c>
      <c r="C28" s="1">
        <v>30</v>
      </c>
      <c r="D28" s="1">
        <v>0</v>
      </c>
      <c r="E28" s="1">
        <v>30</v>
      </c>
      <c r="F28" s="1">
        <v>0</v>
      </c>
      <c r="G28" s="1">
        <v>0</v>
      </c>
      <c r="H28" s="1">
        <v>0</v>
      </c>
    </row>
    <row r="29" spans="1:8">
      <c r="A29" s="1" t="s">
        <v>28</v>
      </c>
      <c r="B29" s="2">
        <v>0.0951550230383873</v>
      </c>
      <c r="C29" s="1">
        <v>12</v>
      </c>
      <c r="D29" s="1">
        <v>0</v>
      </c>
      <c r="E29" s="1">
        <v>12</v>
      </c>
      <c r="F29" s="1">
        <v>0</v>
      </c>
      <c r="G29" s="1">
        <v>0</v>
      </c>
      <c r="H29" s="1">
        <v>0</v>
      </c>
    </row>
    <row r="30" spans="1:8">
      <c r="A30" s="1" t="s">
        <v>29</v>
      </c>
      <c r="B30" s="2">
        <v>0.06343667954206467</v>
      </c>
      <c r="C30" s="1">
        <v>8</v>
      </c>
      <c r="D30" s="1">
        <v>0</v>
      </c>
      <c r="E30" s="1">
        <v>8</v>
      </c>
      <c r="F30" s="1">
        <v>0</v>
      </c>
      <c r="G30" s="1">
        <v>0</v>
      </c>
      <c r="H30" s="1">
        <v>0</v>
      </c>
    </row>
    <row r="31" spans="1:8">
      <c r="A31" s="1" t="s">
        <v>30</v>
      </c>
      <c r="B31" s="2">
        <v>0.06343667954206467</v>
      </c>
      <c r="C31" s="1">
        <v>8</v>
      </c>
      <c r="D31" s="1">
        <v>0</v>
      </c>
      <c r="E31" s="1">
        <v>8</v>
      </c>
      <c r="F31" s="1">
        <v>0</v>
      </c>
      <c r="G31" s="1">
        <v>0</v>
      </c>
      <c r="H31" s="1">
        <v>0</v>
      </c>
    </row>
    <row r="32" spans="1:8">
      <c r="A32" s="1" t="s">
        <v>10</v>
      </c>
      <c r="B32" s="2">
        <v>0.03171833977103233</v>
      </c>
      <c r="C32" s="1">
        <v>4</v>
      </c>
      <c r="D32" s="1">
        <v>4</v>
      </c>
      <c r="E32" s="1">
        <v>0</v>
      </c>
      <c r="F32" s="1">
        <v>0</v>
      </c>
      <c r="G32" s="1">
        <v>4</v>
      </c>
      <c r="H32" s="1">
        <v>0</v>
      </c>
    </row>
    <row r="33" spans="1:8">
      <c r="A33" s="1" t="s">
        <v>31</v>
      </c>
      <c r="B33" s="2">
        <v>0.03171833977103233</v>
      </c>
      <c r="C33" s="1">
        <v>4</v>
      </c>
      <c r="D33" s="1">
        <v>0</v>
      </c>
      <c r="E33" s="1">
        <v>4</v>
      </c>
      <c r="F33" s="1">
        <v>0</v>
      </c>
      <c r="G33" s="1">
        <v>0</v>
      </c>
      <c r="H33" s="1">
        <v>0</v>
      </c>
    </row>
    <row r="34" spans="1:8">
      <c r="A34" t="s">
        <v>33</v>
      </c>
      <c r="B34">
        <f>SUBTOTAL(109,[flash_percent])</f>
        <v>0</v>
      </c>
      <c r="C34">
        <f>SUBTOTAL(109,[flash])</f>
        <v>0</v>
      </c>
      <c r="D34">
        <f>SUBTOTAL(109,[ram])</f>
        <v>0</v>
      </c>
      <c r="E34">
        <f>SUBTOTAL(109,[Code])</f>
        <v>0</v>
      </c>
      <c r="F34">
        <f>SUBTOTAL(109,[RO_data])</f>
        <v>0</v>
      </c>
      <c r="G34">
        <f>SUBTOTAL(109,[RW_data])</f>
        <v>0</v>
      </c>
      <c r="H3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2026-01-14T08:52:06Z</dcterms:created>
  <dcterms:modified xsi:type="dcterms:W3CDTF">2026-01-14T08:52:06Z</dcterms:modified>
</cp:coreProperties>
</file>