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<sst xmlns="http://schemas.openxmlformats.org/spreadsheetml/2006/main" count="65" uniqueCount="44">
  <si>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</si>
  <si>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</si>
  <si>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</si>
  <si>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</si>
  <si>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</si>
  <si>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</si>
  <si>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</si>
  <si>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</si>
  <si>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</si>
  <si>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</si>
  <si>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</si>
  <si>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</si>
  <si>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</si>
  <si>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gd32f4xx_usart.o</t>
  </si>
  <si>
    <t>gd32f4xx_timer.o</t>
  </si>
  <si>
    <t>printf3.o</t>
  </si>
  <si>
    <t>exti.o</t>
  </si>
  <si>
    <t>gd32f4xx_dma.o</t>
  </si>
  <si>
    <t>gd32f4xx_rcu.o</t>
  </si>
  <si>
    <t>gd32f4xx_gpio.o</t>
  </si>
  <si>
    <t>gd32f4xx_misc.o</t>
  </si>
  <si>
    <t>list.o</t>
  </si>
  <si>
    <t>systick.o</t>
  </si>
  <si>
    <t>init.o</t>
  </si>
  <si>
    <t>uidiv.o</t>
  </si>
  <si>
    <t>puts.o</t>
  </si>
  <si>
    <t>memseta.o</t>
  </si>
  <si>
    <t>memcpya.o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</si>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</sst>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ram_percent!$A$3:$A$36</c:f>
              <c:strCache>
                <c:ptCount val="34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3">
                  <c:v>Totals</c:v>
                </c:pt>
              </c:strCache>
            </c:strRef>
          </c:cat>
          <c:val>
            <c:numRef>
              <c:f>ram_percent!$B$3:$B$36</c:f>
              <c:numCache>
                <c:formatCode>General</c:formatCode>
                <c:ptCount val="34"/>
                <c:pt idx="0">
                  <c:v>96.22624969482422</c:v>
                </c:pt>
                <c:pt idx="1">
                  <c:v>1.287559032440186</c:v>
                </c:pt>
                <c:pt idx="2">
                  <c:v>1.282549023628235</c:v>
                </c:pt>
                <c:pt idx="3">
                  <c:v>1.001991510391235</c:v>
                </c:pt>
                <c:pt idx="4">
                  <c:v>0.08015931397676468</c:v>
                </c:pt>
                <c:pt idx="5">
                  <c:v>0.07514935731887817</c:v>
                </c:pt>
                <c:pt idx="6">
                  <c:v>0.01502987183630467</c:v>
                </c:pt>
                <c:pt idx="7">
                  <c:v>0.01127240434288979</c:v>
                </c:pt>
                <c:pt idx="8">
                  <c:v>0.005009957123547792</c:v>
                </c:pt>
                <c:pt idx="9">
                  <c:v>0.005009957123547792</c:v>
                </c:pt>
                <c:pt idx="10">
                  <c:v>0.005009957123547792</c:v>
                </c:pt>
                <c:pt idx="11">
                  <c:v>0.005009957123547792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flash_percent!$A$3:$A$36</c:f>
              <c:strCache>
                <c:ptCount val="34"/>
                <c:pt idx="0">
                  <c:v>tasks.o</c:v>
                </c:pt>
                <c:pt idx="1">
                  <c:v>queue.o</c:v>
                </c:pt>
                <c:pt idx="2">
                  <c:v>timers.o</c:v>
                </c:pt>
                <c:pt idx="3">
                  <c:v>port.o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usart0.o</c:v>
                </c:pt>
                <c:pt idx="8">
                  <c:v>gd32f4xx_timer.o</c:v>
                </c:pt>
                <c:pt idx="9">
                  <c:v>main.o</c:v>
                </c:pt>
                <c:pt idx="10">
                  <c:v>system_gd32f4xx.o</c:v>
                </c:pt>
                <c:pt idx="11">
                  <c:v>printf3.o</c:v>
                </c:pt>
                <c:pt idx="12">
                  <c:v>exti.o</c:v>
                </c:pt>
                <c:pt idx="13">
                  <c:v>gd32f4xx_dma.o</c:v>
                </c:pt>
                <c:pt idx="14">
                  <c:v>startup_gd32f407_427.o</c:v>
                </c:pt>
                <c:pt idx="15">
                  <c:v>gd32f4xx_rcu.o</c:v>
                </c:pt>
                <c:pt idx="16">
                  <c:v>gd32f4xx_gpio.o</c:v>
                </c:pt>
                <c:pt idx="17">
                  <c:v>bsp_keys.o</c:v>
                </c:pt>
                <c:pt idx="18">
                  <c:v>gd32f4xx_misc.o</c:v>
                </c:pt>
                <c:pt idx="19">
                  <c:v>list.o</c:v>
                </c:pt>
                <c:pt idx="20">
                  <c:v>systick.o</c:v>
                </c:pt>
                <c:pt idx="21">
                  <c:v>init.o</c:v>
                </c:pt>
                <c:pt idx="22">
                  <c:v>uidiv.o</c:v>
                </c:pt>
                <c:pt idx="23">
                  <c:v>puts.o</c:v>
                </c:pt>
                <c:pt idx="24">
                  <c:v>memseta.o</c:v>
                </c:pt>
                <c:pt idx="25">
                  <c:v>memcpya.o</c:v>
                </c:pt>
                <c:pt idx="26">
                  <c:v>handlers.o</c:v>
                </c:pt>
                <c:pt idx="27">
                  <c:v>gd32f4xx_exti.o</c:v>
                </c:pt>
                <c:pt idx="28">
                  <c:v>gd32f4xx_it.o</c:v>
                </c:pt>
                <c:pt idx="29">
                  <c:v>entry9a.o</c:v>
                </c:pt>
                <c:pt idx="30">
                  <c:v>entry2.o</c:v>
                </c:pt>
                <c:pt idx="31">
                  <c:v>stdout.o</c:v>
                </c:pt>
                <c:pt idx="32">
                  <c:v>entry5.o</c:v>
                </c:pt>
                <c:pt idx="33">
                  <c:v>Totals</c:v>
                </c:pt>
              </c:strCache>
            </c:strRef>
          </c:cat>
          <c:val>
            <c:numRef>
              <c:f>flash_percent!$B$3:$B$36</c:f>
              <c:numCache>
                <c:formatCode>General</c:formatCode>
                <c:ptCount val="34"/>
                <c:pt idx="0">
                  <c:v>23.20836639404297</c:v>
                </c:pt>
                <c:pt idx="1">
                  <c:v>7.527436256408691</c:v>
                </c:pt>
                <c:pt idx="2">
                  <c:v>6.916108131408691</c:v>
                </c:pt>
                <c:pt idx="3">
                  <c:v>6.754069328308106</c:v>
                </c:pt>
                <c:pt idx="4">
                  <c:v>5.347278594970703</c:v>
                </c:pt>
                <c:pt idx="5">
                  <c:v>4.890624046325684</c:v>
                </c:pt>
                <c:pt idx="6">
                  <c:v>4.360315322875977</c:v>
                </c:pt>
                <c:pt idx="7">
                  <c:v>4.154084205627441</c:v>
                </c:pt>
                <c:pt idx="8">
                  <c:v>4.109891891479492</c:v>
                </c:pt>
                <c:pt idx="9">
                  <c:v>4.065699577331543</c:v>
                </c:pt>
                <c:pt idx="10">
                  <c:v>3.933122158050537</c:v>
                </c:pt>
                <c:pt idx="11">
                  <c:v>3.476467609405518</c:v>
                </c:pt>
                <c:pt idx="12">
                  <c:v>3.461736679077148</c:v>
                </c:pt>
                <c:pt idx="13">
                  <c:v>3.196582555770874</c:v>
                </c:pt>
                <c:pt idx="14">
                  <c:v>3.152390003204346</c:v>
                </c:pt>
                <c:pt idx="15">
                  <c:v>2.371657848358154</c:v>
                </c:pt>
                <c:pt idx="16">
                  <c:v>2.018118858337402</c:v>
                </c:pt>
                <c:pt idx="17">
                  <c:v>1.738233804702759</c:v>
                </c:pt>
                <c:pt idx="18">
                  <c:v>1.325771570205689</c:v>
                </c:pt>
                <c:pt idx="19">
                  <c:v>1.104809641838074</c:v>
                </c:pt>
                <c:pt idx="20">
                  <c:v>0.7070781588554382</c:v>
                </c:pt>
                <c:pt idx="21">
                  <c:v>0.3535390794277191</c:v>
                </c:pt>
                <c:pt idx="22">
                  <c:v>0.3240774869918823</c:v>
                </c:pt>
                <c:pt idx="23">
                  <c:v>0.2651543021202087</c:v>
                </c:pt>
                <c:pt idx="24">
                  <c:v>0.2651543021202087</c:v>
                </c:pt>
                <c:pt idx="25">
                  <c:v>0.2651543021202087</c:v>
                </c:pt>
                <c:pt idx="26">
                  <c:v>0.2209619134664536</c:v>
                </c:pt>
                <c:pt idx="27">
                  <c:v>0.2209619134664536</c:v>
                </c:pt>
                <c:pt idx="28">
                  <c:v>0.08838476985692978</c:v>
                </c:pt>
                <c:pt idx="29">
                  <c:v>0.05892317742109299</c:v>
                </c:pt>
                <c:pt idx="30">
                  <c:v>0.05892317742109299</c:v>
                </c:pt>
                <c:pt idx="31">
                  <c:v>0.02946158871054649</c:v>
                </c:pt>
                <c:pt idx="32">
                  <c:v>0.02946158871054649</c:v>
                </c:pt>
                <c:pt idx="3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6" totalsRowCount="1">
  <autoFilter ref="A2:H3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6" totalsRowCount="1">
  <autoFilter ref="A2:H3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1</v>
      </c>
      <c r="B3" s="2">
        <v>96.22624969482422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1.287559032440186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1.282549023628235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1.001991510391235</v>
      </c>
      <c r="C6" s="1">
        <v>800</v>
      </c>
      <c r="D6" s="1">
        <v>3151</v>
      </c>
      <c r="E6" s="1">
        <v>3108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0.08015931397676468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0.07514935731887817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0.01502987183630467</v>
      </c>
      <c r="C9" s="1">
        <v>12</v>
      </c>
      <c r="D9" s="1">
        <v>552</v>
      </c>
      <c r="E9" s="1">
        <v>552</v>
      </c>
      <c r="F9" s="1">
        <v>0</v>
      </c>
      <c r="G9" s="1">
        <v>0</v>
      </c>
      <c r="H9" s="1">
        <v>12</v>
      </c>
    </row>
    <row r="10" spans="1:8">
      <c r="A10" s="1" t="s">
        <v>8</v>
      </c>
      <c r="B10" s="2">
        <v>0.01127240434288979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0.005009957123547792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0.005009957123547792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0.005009957123547792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0.005009957123547792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6" spans="1:8">
      <c r="A36" t="s">
        <v>35</v>
      </c>
      <c r="B36">
        <f>SUBTOTAL(109,[ram_percent])</f>
        <v>0</v>
      </c>
      <c r="C36">
        <f>SUBTOTAL(109,[ram])</f>
        <v>0</v>
      </c>
      <c r="D36">
        <f>SUBTOTAL(109,[flash])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34</v>
      </c>
      <c r="B2" t="s">
        <v>43</v>
      </c>
      <c r="C2" t="s">
        <v>38</v>
      </c>
      <c r="D2" t="s">
        <v>37</v>
      </c>
      <c r="E2" t="s">
        <v>39</v>
      </c>
      <c r="F2" t="s">
        <v>40</v>
      </c>
      <c r="G2" t="s">
        <v>41</v>
      </c>
      <c r="H2" t="s">
        <v>42</v>
      </c>
    </row>
    <row r="3" spans="1:8">
      <c r="A3" s="1" t="s">
        <v>4</v>
      </c>
      <c r="B3" s="2">
        <v>23.20836639404297</v>
      </c>
      <c r="C3" s="1">
        <v>3151</v>
      </c>
      <c r="D3" s="1">
        <v>800</v>
      </c>
      <c r="E3" s="1">
        <v>3108</v>
      </c>
      <c r="F3" s="1">
        <v>43</v>
      </c>
      <c r="G3" s="1">
        <v>0</v>
      </c>
      <c r="H3" s="1">
        <v>800</v>
      </c>
    </row>
    <row r="4" spans="1:8">
      <c r="A4" s="1" t="s">
        <v>5</v>
      </c>
      <c r="B4" s="2">
        <v>7.527436256408691</v>
      </c>
      <c r="C4" s="1">
        <v>1022</v>
      </c>
      <c r="D4" s="1">
        <v>64</v>
      </c>
      <c r="E4" s="1">
        <v>1002</v>
      </c>
      <c r="F4" s="1">
        <v>20</v>
      </c>
      <c r="G4" s="1">
        <v>0</v>
      </c>
      <c r="H4" s="1">
        <v>64</v>
      </c>
    </row>
    <row r="5" spans="1:8">
      <c r="A5" s="1" t="s">
        <v>6</v>
      </c>
      <c r="B5" s="2">
        <v>6.916108131408691</v>
      </c>
      <c r="C5" s="1">
        <v>939</v>
      </c>
      <c r="D5" s="1">
        <v>60</v>
      </c>
      <c r="E5" s="1">
        <v>918</v>
      </c>
      <c r="F5" s="1">
        <v>21</v>
      </c>
      <c r="G5" s="1">
        <v>0</v>
      </c>
      <c r="H5" s="1">
        <v>60</v>
      </c>
    </row>
    <row r="6" spans="1:8">
      <c r="A6" s="1" t="s">
        <v>8</v>
      </c>
      <c r="B6" s="2">
        <v>6.754069328308106</v>
      </c>
      <c r="C6" s="1">
        <v>917</v>
      </c>
      <c r="D6" s="1">
        <v>9</v>
      </c>
      <c r="E6" s="1">
        <v>872</v>
      </c>
      <c r="F6" s="1">
        <v>41</v>
      </c>
      <c r="G6" s="1">
        <v>4</v>
      </c>
      <c r="H6" s="1">
        <v>5</v>
      </c>
    </row>
    <row r="7" spans="1:8">
      <c r="A7" s="1" t="s">
        <v>9</v>
      </c>
      <c r="B7" s="2">
        <v>5.347278594970703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4.890624046325684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13</v>
      </c>
      <c r="B9" s="2">
        <v>4.360315322875977</v>
      </c>
      <c r="C9" s="1">
        <v>592</v>
      </c>
      <c r="D9" s="1">
        <v>0</v>
      </c>
      <c r="E9" s="1">
        <v>592</v>
      </c>
      <c r="F9" s="1">
        <v>0</v>
      </c>
      <c r="G9" s="1">
        <v>0</v>
      </c>
      <c r="H9" s="1">
        <v>0</v>
      </c>
    </row>
    <row r="10" spans="1:8">
      <c r="A10" s="1" t="s">
        <v>2</v>
      </c>
      <c r="B10" s="2">
        <v>4.154084205627441</v>
      </c>
      <c r="C10" s="1">
        <v>564</v>
      </c>
      <c r="D10" s="1">
        <v>1028</v>
      </c>
      <c r="E10" s="1">
        <v>564</v>
      </c>
      <c r="F10" s="1">
        <v>0</v>
      </c>
      <c r="G10" s="1">
        <v>0</v>
      </c>
      <c r="H10" s="1">
        <v>1028</v>
      </c>
    </row>
    <row r="11" spans="1:8">
      <c r="A11" s="1" t="s">
        <v>14</v>
      </c>
      <c r="B11" s="2">
        <v>4.109891891479492</v>
      </c>
      <c r="C11" s="1">
        <v>558</v>
      </c>
      <c r="D11" s="1">
        <v>0</v>
      </c>
      <c r="E11" s="1">
        <v>558</v>
      </c>
      <c r="F11" s="1">
        <v>0</v>
      </c>
      <c r="G11" s="1">
        <v>0</v>
      </c>
      <c r="H11" s="1">
        <v>0</v>
      </c>
    </row>
    <row r="12" spans="1:8">
      <c r="A12" s="1" t="s">
        <v>7</v>
      </c>
      <c r="B12" s="2">
        <v>4.065699577331543</v>
      </c>
      <c r="C12" s="1">
        <v>552</v>
      </c>
      <c r="D12" s="1">
        <v>12</v>
      </c>
      <c r="E12" s="1">
        <v>552</v>
      </c>
      <c r="F12" s="1">
        <v>0</v>
      </c>
      <c r="G12" s="1">
        <v>0</v>
      </c>
      <c r="H12" s="1">
        <v>12</v>
      </c>
    </row>
    <row r="13" spans="1:8">
      <c r="A13" s="1" t="s">
        <v>11</v>
      </c>
      <c r="B13" s="2">
        <v>3.933122158050537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15</v>
      </c>
      <c r="B14" s="2">
        <v>3.476467609405518</v>
      </c>
      <c r="C14" s="1">
        <v>472</v>
      </c>
      <c r="D14" s="1">
        <v>0</v>
      </c>
      <c r="E14" s="1">
        <v>472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3.461736679077148</v>
      </c>
      <c r="C15" s="1">
        <v>470</v>
      </c>
      <c r="D15" s="1">
        <v>0</v>
      </c>
      <c r="E15" s="1">
        <v>470</v>
      </c>
      <c r="F15" s="1">
        <v>0</v>
      </c>
      <c r="G15" s="1">
        <v>0</v>
      </c>
      <c r="H15" s="1">
        <v>0</v>
      </c>
    </row>
    <row r="16" spans="1:8">
      <c r="A16" s="1" t="s">
        <v>17</v>
      </c>
      <c r="B16" s="2">
        <v>3.196582555770874</v>
      </c>
      <c r="C16" s="1">
        <v>434</v>
      </c>
      <c r="D16" s="1">
        <v>0</v>
      </c>
      <c r="E16" s="1">
        <v>434</v>
      </c>
      <c r="F16" s="1">
        <v>0</v>
      </c>
      <c r="G16" s="1">
        <v>0</v>
      </c>
      <c r="H16" s="1">
        <v>0</v>
      </c>
    </row>
    <row r="17" spans="1:8">
      <c r="A17" s="1" t="s">
        <v>3</v>
      </c>
      <c r="B17" s="2">
        <v>3.152390003204346</v>
      </c>
      <c r="C17" s="1">
        <v>428</v>
      </c>
      <c r="D17" s="1">
        <v>1024</v>
      </c>
      <c r="E17" s="1">
        <v>36</v>
      </c>
      <c r="F17" s="1">
        <v>392</v>
      </c>
      <c r="G17" s="1">
        <v>0</v>
      </c>
      <c r="H17" s="1">
        <v>1024</v>
      </c>
    </row>
    <row r="18" spans="1:8">
      <c r="A18" s="1" t="s">
        <v>18</v>
      </c>
      <c r="B18" s="2">
        <v>2.371657848358154</v>
      </c>
      <c r="C18" s="1">
        <v>322</v>
      </c>
      <c r="D18" s="1">
        <v>0</v>
      </c>
      <c r="E18" s="1">
        <v>314</v>
      </c>
      <c r="F18" s="1">
        <v>8</v>
      </c>
      <c r="G18" s="1">
        <v>0</v>
      </c>
      <c r="H18" s="1">
        <v>0</v>
      </c>
    </row>
    <row r="19" spans="1:8">
      <c r="A19" s="1" t="s">
        <v>19</v>
      </c>
      <c r="B19" s="2">
        <v>2.018118858337402</v>
      </c>
      <c r="C19" s="1">
        <v>274</v>
      </c>
      <c r="D19" s="1">
        <v>0</v>
      </c>
      <c r="E19" s="1">
        <v>274</v>
      </c>
      <c r="F19" s="1">
        <v>0</v>
      </c>
      <c r="G19" s="1">
        <v>0</v>
      </c>
      <c r="H19" s="1">
        <v>0</v>
      </c>
    </row>
    <row r="20" spans="1:8">
      <c r="A20" s="1" t="s">
        <v>12</v>
      </c>
      <c r="B20" s="2">
        <v>1.738233804702759</v>
      </c>
      <c r="C20" s="1">
        <v>236</v>
      </c>
      <c r="D20" s="1">
        <v>4</v>
      </c>
      <c r="E20" s="1">
        <v>232</v>
      </c>
      <c r="F20" s="1">
        <v>0</v>
      </c>
      <c r="G20" s="1">
        <v>4</v>
      </c>
      <c r="H20" s="1">
        <v>0</v>
      </c>
    </row>
    <row r="21" spans="1:8">
      <c r="A21" s="1" t="s">
        <v>20</v>
      </c>
      <c r="B21" s="2">
        <v>1.325771570205689</v>
      </c>
      <c r="C21" s="1">
        <v>180</v>
      </c>
      <c r="D21" s="1">
        <v>0</v>
      </c>
      <c r="E21" s="1">
        <v>180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1.104809641838074</v>
      </c>
      <c r="C22" s="1">
        <v>150</v>
      </c>
      <c r="D22" s="1">
        <v>0</v>
      </c>
      <c r="E22" s="1">
        <v>150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0.7070781588554382</v>
      </c>
      <c r="C23" s="1">
        <v>96</v>
      </c>
      <c r="D23" s="1">
        <v>0</v>
      </c>
      <c r="E23" s="1">
        <v>96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0.3535390794277191</v>
      </c>
      <c r="C24" s="1">
        <v>48</v>
      </c>
      <c r="D24" s="1">
        <v>0</v>
      </c>
      <c r="E24" s="1">
        <v>48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0.3240774869918823</v>
      </c>
      <c r="C25" s="1">
        <v>44</v>
      </c>
      <c r="D25" s="1">
        <v>0</v>
      </c>
      <c r="E25" s="1">
        <v>44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0.2651543021202087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0.2651543021202087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0.2651543021202087</v>
      </c>
      <c r="C28" s="1">
        <v>36</v>
      </c>
      <c r="D28" s="1">
        <v>0</v>
      </c>
      <c r="E28" s="1">
        <v>36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0.2209619134664536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0.2209619134664536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0.08838476985692978</v>
      </c>
      <c r="C31" s="1">
        <v>12</v>
      </c>
      <c r="D31" s="1">
        <v>0</v>
      </c>
      <c r="E31" s="1">
        <v>12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0.05892317742109299</v>
      </c>
      <c r="C32" s="1">
        <v>8</v>
      </c>
      <c r="D32" s="1">
        <v>0</v>
      </c>
      <c r="E32" s="1">
        <v>8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0.05892317742109299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10</v>
      </c>
      <c r="B34" s="2">
        <v>0.02946158871054649</v>
      </c>
      <c r="C34" s="1">
        <v>4</v>
      </c>
      <c r="D34" s="1">
        <v>4</v>
      </c>
      <c r="E34" s="1">
        <v>0</v>
      </c>
      <c r="F34" s="1">
        <v>0</v>
      </c>
      <c r="G34" s="1">
        <v>4</v>
      </c>
      <c r="H34" s="1">
        <v>0</v>
      </c>
    </row>
    <row r="35" spans="1:8">
      <c r="A35" s="1" t="s">
        <v>33</v>
      </c>
      <c r="B35" s="2">
        <v>0.02946158871054649</v>
      </c>
      <c r="C35" s="1">
        <v>4</v>
      </c>
      <c r="D35" s="1">
        <v>0</v>
      </c>
      <c r="E35" s="1">
        <v>4</v>
      </c>
      <c r="F35" s="1">
        <v>0</v>
      </c>
      <c r="G35" s="1">
        <v>0</v>
      </c>
      <c r="H35" s="1">
        <v>0</v>
      </c>
    </row>
    <row r="36" spans="1:8">
      <c r="A36" t="s">
        <v>35</v>
      </c>
      <c r="B36">
        <f>SUBTOTAL(109,[flash_percent])</f>
        <v>0</v>
      </c>
      <c r="C36">
        <f>SUBTOTAL(109,[flash])</f>
        <v>0</v>
      </c>
      <c r="D36">
        <f>SUBTOTAL(109,[ram])</f>
        <v>0</v>
      </c>
      <c r="E36">
        <f>SUBTOTAL(109,[Code])</f>
        <v>0</v>
      </c>
      <c r="F36">
        <f>SUBTOTAL(109,[RO_data])</f>
        <v>0</v>
      </c>
      <c r="G36">
        <f>SUBTOTAL(109,[RW_data])</f>
        <v>0</v>
      </c>
      <c r="H3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2026-01-12T10:29:24Z</dcterms:created>
  <dcterms:modified xsi:type="dcterms:W3CDTF">2026-01-12T10:29:24Z</dcterms:modified>
</cp:coreProperties>
</file>