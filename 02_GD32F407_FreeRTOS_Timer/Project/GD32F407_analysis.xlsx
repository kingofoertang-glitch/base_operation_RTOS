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<sst xmlns="http://schemas.openxmlformats.org/spreadsheetml/2006/main" count="64" uniqueCount="43">
  <si>
    <t>GD32F407</t>
  </si>
  <si>
    <t>heap_4.o</t>
  </si>
  <si>
    <t>usart0.o</t>
  </si>
  <si>
    <t>startup_gd32f407_427.o</t>
  </si>
  <si>
    <t>tasks.o</t>
  </si>
  <si>
    <t>queue.o</t>
  </si>
  <si>
    <t>timers.o</t>
  </si>
  <si>
    <t>main.o</t>
  </si>
  <si>
    <t>port.o</t>
  </si>
  <si>
    <t>mc_w.l</t>
  </si>
  <si>
    <t>stdout.o</t>
  </si>
  <si>
    <t>system_gd32f4xx.o</t>
  </si>
  <si>
    <t>bsp_keys.o</t>
  </si>
  <si>
    <t>gd32f4xx_usart.o</t>
  </si>
  <si>
    <t>printf3.o</t>
  </si>
  <si>
    <t>exti.o</t>
  </si>
  <si>
    <t>gd32f4xx_dma.o</t>
  </si>
  <si>
    <t>gd32f4xx_rcu.o</t>
  </si>
  <si>
    <t>gd32f4xx_gpio.o</t>
  </si>
  <si>
    <t>gd32f4xx_misc.o</t>
  </si>
  <si>
    <t>list.o</t>
  </si>
  <si>
    <t>systick.o</t>
  </si>
  <si>
    <t>init.o</t>
  </si>
  <si>
    <t>uidiv.o</t>
  </si>
  <si>
    <t>puts.o</t>
  </si>
  <si>
    <t>memseta.o</t>
  </si>
  <si>
    <t>memcpya.o</t>
  </si>
  <si>
    <t>handlers.o</t>
  </si>
  <si>
    <t>gd32f4xx_exti.o</t>
  </si>
  <si>
    <t>gd32f4xx_it.o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</si>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</sst>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ram_percent!$A$3:$A$35</c:f>
              <c:strCache>
                <c:ptCount val="33"/>
                <c:pt idx="0">
                  <c:v>heap_4.o</c:v>
                </c:pt>
                <c:pt idx="1">
                  <c:v>usart0.o</c:v>
                </c:pt>
                <c:pt idx="2">
                  <c:v>startup_gd32f407_427.o</c:v>
                </c:pt>
                <c:pt idx="3">
                  <c:v>tasks.o</c:v>
                </c:pt>
                <c:pt idx="4">
                  <c:v>queue.o</c:v>
                </c:pt>
                <c:pt idx="5">
                  <c:v>timers.o</c:v>
                </c:pt>
                <c:pt idx="6">
                  <c:v>main.o</c:v>
                </c:pt>
                <c:pt idx="7">
                  <c:v>port.o</c:v>
                </c:pt>
                <c:pt idx="8">
                  <c:v>mc_w.l</c:v>
                </c:pt>
                <c:pt idx="9">
                  <c:v>stdout.o</c:v>
                </c:pt>
                <c:pt idx="10">
                  <c:v>system_gd32f4xx.o</c:v>
                </c:pt>
                <c:pt idx="11">
                  <c:v>bsp_keys.o</c:v>
                </c:pt>
                <c:pt idx="32">
                  <c:v>Totals</c:v>
                </c:pt>
              </c:strCache>
            </c:strRef>
          </c:cat>
          <c:val>
            <c:numRef>
              <c:f>ram_percent!$B$3:$B$35</c:f>
              <c:numCache>
                <c:formatCode>General</c:formatCode>
                <c:ptCount val="33"/>
                <c:pt idx="0">
                  <c:v>96.2117919921875</c:v>
                </c:pt>
                <c:pt idx="1">
                  <c:v>1.287365555763245</c:v>
                </c:pt>
                <c:pt idx="2">
                  <c:v>1.282356381416321</c:v>
                </c:pt>
                <c:pt idx="3">
                  <c:v>1.001840829849243</c:v>
                </c:pt>
                <c:pt idx="4">
                  <c:v>0.08014727383852005</c:v>
                </c:pt>
                <c:pt idx="5">
                  <c:v>0.07513806968927383</c:v>
                </c:pt>
                <c:pt idx="6">
                  <c:v>0.03005522675812244</c:v>
                </c:pt>
                <c:pt idx="7">
                  <c:v>0.01127071026712656</c:v>
                </c:pt>
                <c:pt idx="8">
                  <c:v>0.005009204614907503</c:v>
                </c:pt>
                <c:pt idx="9">
                  <c:v>0.005009204614907503</c:v>
                </c:pt>
                <c:pt idx="10">
                  <c:v>0.005009204614907503</c:v>
                </c:pt>
                <c:pt idx="11">
                  <c:v>0.005009204614907503</c:v>
                </c:pt>
                <c:pt idx="3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flash_percent!$A$3:$A$35</c:f>
              <c:strCache>
                <c:ptCount val="33"/>
                <c:pt idx="0">
                  <c:v>tasks.o</c:v>
                </c:pt>
                <c:pt idx="1">
                  <c:v>queue.o</c:v>
                </c:pt>
                <c:pt idx="2">
                  <c:v>timers.o</c:v>
                </c:pt>
                <c:pt idx="3">
                  <c:v>port.o</c:v>
                </c:pt>
                <c:pt idx="4">
                  <c:v>mc_w.l</c:v>
                </c:pt>
                <c:pt idx="5">
                  <c:v>heap_4.o</c:v>
                </c:pt>
                <c:pt idx="6">
                  <c:v>main.o</c:v>
                </c:pt>
                <c:pt idx="7">
                  <c:v>gd32f4xx_usart.o</c:v>
                </c:pt>
                <c:pt idx="8">
                  <c:v>usart0.o</c:v>
                </c:pt>
                <c:pt idx="9">
                  <c:v>system_gd32f4xx.o</c:v>
                </c:pt>
                <c:pt idx="10">
                  <c:v>printf3.o</c:v>
                </c:pt>
                <c:pt idx="11">
                  <c:v>exti.o</c:v>
                </c:pt>
                <c:pt idx="12">
                  <c:v>gd32f4xx_dma.o</c:v>
                </c:pt>
                <c:pt idx="13">
                  <c:v>startup_gd32f407_427.o</c:v>
                </c:pt>
                <c:pt idx="14">
                  <c:v>gd32f4xx_rcu.o</c:v>
                </c:pt>
                <c:pt idx="15">
                  <c:v>gd32f4xx_gpio.o</c:v>
                </c:pt>
                <c:pt idx="16">
                  <c:v>bsp_keys.o</c:v>
                </c:pt>
                <c:pt idx="17">
                  <c:v>gd32f4xx_misc.o</c:v>
                </c:pt>
                <c:pt idx="18">
                  <c:v>list.o</c:v>
                </c:pt>
                <c:pt idx="19">
                  <c:v>systick.o</c:v>
                </c:pt>
                <c:pt idx="20">
                  <c:v>init.o</c:v>
                </c:pt>
                <c:pt idx="21">
                  <c:v>uidiv.o</c:v>
                </c:pt>
                <c:pt idx="22">
                  <c:v>puts.o</c:v>
                </c:pt>
                <c:pt idx="23">
                  <c:v>memseta.o</c:v>
                </c:pt>
                <c:pt idx="24">
                  <c:v>memcpya.o</c:v>
                </c:pt>
                <c:pt idx="25">
                  <c:v>handlers.o</c:v>
                </c:pt>
                <c:pt idx="26">
                  <c:v>gd32f4xx_exti.o</c:v>
                </c:pt>
                <c:pt idx="27">
                  <c:v>gd32f4xx_it.o</c:v>
                </c:pt>
                <c:pt idx="28">
                  <c:v>entry9a.o</c:v>
                </c:pt>
                <c:pt idx="29">
                  <c:v>entry2.o</c:v>
                </c:pt>
                <c:pt idx="30">
                  <c:v>stdout.o</c:v>
                </c:pt>
                <c:pt idx="31">
                  <c:v>entry5.o</c:v>
                </c:pt>
                <c:pt idx="32">
                  <c:v>Totals</c:v>
                </c:pt>
              </c:strCache>
            </c:strRef>
          </c:cat>
          <c:val>
            <c:numRef>
              <c:f>flash_percent!$B$3:$B$35</c:f>
              <c:numCache>
                <c:formatCode>General</c:formatCode>
                <c:ptCount val="33"/>
                <c:pt idx="0">
                  <c:v>22.12228965759277</c:v>
                </c:pt>
                <c:pt idx="1">
                  <c:v>13.46998500823975</c:v>
                </c:pt>
                <c:pt idx="2">
                  <c:v>8.42919921875</c:v>
                </c:pt>
                <c:pt idx="3">
                  <c:v>7.20211935043335</c:v>
                </c:pt>
                <c:pt idx="4">
                  <c:v>5.061702728271484</c:v>
                </c:pt>
                <c:pt idx="5">
                  <c:v>4.629436016082764</c:v>
                </c:pt>
                <c:pt idx="6">
                  <c:v>4.127449035644531</c:v>
                </c:pt>
                <c:pt idx="7">
                  <c:v>4.127449035644531</c:v>
                </c:pt>
                <c:pt idx="8">
                  <c:v>3.932231664657593</c:v>
                </c:pt>
                <c:pt idx="9">
                  <c:v>3.723070383071899</c:v>
                </c:pt>
                <c:pt idx="10">
                  <c:v>3.290803909301758</c:v>
                </c:pt>
                <c:pt idx="11">
                  <c:v>3.276859760284424</c:v>
                </c:pt>
                <c:pt idx="12">
                  <c:v>3.025866270065308</c:v>
                </c:pt>
                <c:pt idx="13">
                  <c:v>2.984034061431885</c:v>
                </c:pt>
                <c:pt idx="14">
                  <c:v>2.007948160171509</c:v>
                </c:pt>
                <c:pt idx="15">
                  <c:v>1.910339593887329</c:v>
                </c:pt>
                <c:pt idx="16">
                  <c:v>1.645401954650879</c:v>
                </c:pt>
                <c:pt idx="17">
                  <c:v>1.254967570304871</c:v>
                </c:pt>
                <c:pt idx="18">
                  <c:v>1.045806288719177</c:v>
                </c:pt>
                <c:pt idx="19">
                  <c:v>0.6693160533905029</c:v>
                </c:pt>
                <c:pt idx="20">
                  <c:v>0.3346580266952515</c:v>
                </c:pt>
                <c:pt idx="21">
                  <c:v>0.3067698478698731</c:v>
                </c:pt>
                <c:pt idx="22">
                  <c:v>0.2509935200214386</c:v>
                </c:pt>
                <c:pt idx="23">
                  <c:v>0.2509935200214386</c:v>
                </c:pt>
                <c:pt idx="24">
                  <c:v>0.2509935200214386</c:v>
                </c:pt>
                <c:pt idx="25">
                  <c:v>0.2091612666845322</c:v>
                </c:pt>
                <c:pt idx="26">
                  <c:v>0.2091612666845322</c:v>
                </c:pt>
                <c:pt idx="27">
                  <c:v>0.08366450667381287</c:v>
                </c:pt>
                <c:pt idx="28">
                  <c:v>0.05577633529901505</c:v>
                </c:pt>
                <c:pt idx="29">
                  <c:v>0.05577633529901505</c:v>
                </c:pt>
                <c:pt idx="30">
                  <c:v>0.02788816764950752</c:v>
                </c:pt>
                <c:pt idx="31">
                  <c:v>0.02788816764950752</c:v>
                </c:pt>
                <c:pt idx="3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5" totalsRowCount="1">
  <autoFilter ref="A2:H34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5" totalsRowCount="1">
  <autoFilter ref="A2:H34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5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33</v>
      </c>
      <c r="B2" t="s">
        <v>35</v>
      </c>
      <c r="C2" t="s">
        <v>36</v>
      </c>
      <c r="D2" t="s">
        <v>37</v>
      </c>
      <c r="E2" t="s">
        <v>38</v>
      </c>
      <c r="F2" t="s">
        <v>39</v>
      </c>
      <c r="G2" t="s">
        <v>40</v>
      </c>
      <c r="H2" t="s">
        <v>41</v>
      </c>
    </row>
    <row r="3" spans="1:8">
      <c r="A3" s="1" t="s">
        <v>1</v>
      </c>
      <c r="B3" s="2">
        <v>96.2117919921875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1.287365555763245</v>
      </c>
      <c r="C4" s="1">
        <v>1028</v>
      </c>
      <c r="D4" s="1">
        <v>564</v>
      </c>
      <c r="E4" s="1">
        <v>564</v>
      </c>
      <c r="F4" s="1">
        <v>0</v>
      </c>
      <c r="G4" s="1">
        <v>0</v>
      </c>
      <c r="H4" s="1">
        <v>1028</v>
      </c>
    </row>
    <row r="5" spans="1:8">
      <c r="A5" s="1" t="s">
        <v>3</v>
      </c>
      <c r="B5" s="2">
        <v>1.282356381416321</v>
      </c>
      <c r="C5" s="1">
        <v>1024</v>
      </c>
      <c r="D5" s="1">
        <v>428</v>
      </c>
      <c r="E5" s="1">
        <v>36</v>
      </c>
      <c r="F5" s="1">
        <v>392</v>
      </c>
      <c r="G5" s="1">
        <v>0</v>
      </c>
      <c r="H5" s="1">
        <v>1024</v>
      </c>
    </row>
    <row r="6" spans="1:8">
      <c r="A6" s="1" t="s">
        <v>4</v>
      </c>
      <c r="B6" s="2">
        <v>1.001840829849243</v>
      </c>
      <c r="C6" s="1">
        <v>800</v>
      </c>
      <c r="D6" s="1">
        <v>3173</v>
      </c>
      <c r="E6" s="1">
        <v>3130</v>
      </c>
      <c r="F6" s="1">
        <v>43</v>
      </c>
      <c r="G6" s="1">
        <v>0</v>
      </c>
      <c r="H6" s="1">
        <v>800</v>
      </c>
    </row>
    <row r="7" spans="1:8">
      <c r="A7" s="1" t="s">
        <v>5</v>
      </c>
      <c r="B7" s="2">
        <v>0.08014727383852005</v>
      </c>
      <c r="C7" s="1">
        <v>64</v>
      </c>
      <c r="D7" s="1">
        <v>1932</v>
      </c>
      <c r="E7" s="1">
        <v>1912</v>
      </c>
      <c r="F7" s="1">
        <v>20</v>
      </c>
      <c r="G7" s="1">
        <v>0</v>
      </c>
      <c r="H7" s="1">
        <v>64</v>
      </c>
    </row>
    <row r="8" spans="1:8">
      <c r="A8" s="1" t="s">
        <v>6</v>
      </c>
      <c r="B8" s="2">
        <v>0.07513806968927383</v>
      </c>
      <c r="C8" s="1">
        <v>60</v>
      </c>
      <c r="D8" s="1">
        <v>1209</v>
      </c>
      <c r="E8" s="1">
        <v>1188</v>
      </c>
      <c r="F8" s="1">
        <v>21</v>
      </c>
      <c r="G8" s="1">
        <v>0</v>
      </c>
      <c r="H8" s="1">
        <v>60</v>
      </c>
    </row>
    <row r="9" spans="1:8">
      <c r="A9" s="1" t="s">
        <v>7</v>
      </c>
      <c r="B9" s="2">
        <v>0.03005522675812244</v>
      </c>
      <c r="C9" s="1">
        <v>24</v>
      </c>
      <c r="D9" s="1">
        <v>592</v>
      </c>
      <c r="E9" s="1">
        <v>592</v>
      </c>
      <c r="F9" s="1">
        <v>0</v>
      </c>
      <c r="G9" s="1">
        <v>0</v>
      </c>
      <c r="H9" s="1">
        <v>24</v>
      </c>
    </row>
    <row r="10" spans="1:8">
      <c r="A10" s="1" t="s">
        <v>8</v>
      </c>
      <c r="B10" s="2">
        <v>0.01127071026712656</v>
      </c>
      <c r="C10" s="1">
        <v>9</v>
      </c>
      <c r="D10" s="1">
        <v>1033</v>
      </c>
      <c r="E10" s="1">
        <v>988</v>
      </c>
      <c r="F10" s="1">
        <v>41</v>
      </c>
      <c r="G10" s="1">
        <v>4</v>
      </c>
      <c r="H10" s="1">
        <v>5</v>
      </c>
    </row>
    <row r="11" spans="1:8">
      <c r="A11" s="1" t="s">
        <v>9</v>
      </c>
      <c r="B11" s="2">
        <v>0.005009204614907503</v>
      </c>
      <c r="C11" s="1">
        <v>4</v>
      </c>
      <c r="D11" s="1">
        <v>726</v>
      </c>
      <c r="E11" s="1">
        <v>722</v>
      </c>
      <c r="F11" s="1">
        <v>0</v>
      </c>
      <c r="G11" s="1">
        <v>4</v>
      </c>
      <c r="H11" s="1">
        <v>0</v>
      </c>
    </row>
    <row r="12" spans="1:8">
      <c r="A12" s="1" t="s">
        <v>10</v>
      </c>
      <c r="B12" s="2">
        <v>0.005009204614907503</v>
      </c>
      <c r="C12" s="1">
        <v>4</v>
      </c>
      <c r="D12" s="1">
        <v>4</v>
      </c>
      <c r="E12" s="1">
        <v>0</v>
      </c>
      <c r="F12" s="1">
        <v>0</v>
      </c>
      <c r="G12" s="1">
        <v>4</v>
      </c>
      <c r="H12" s="1">
        <v>0</v>
      </c>
    </row>
    <row r="13" spans="1:8">
      <c r="A13" s="1" t="s">
        <v>11</v>
      </c>
      <c r="B13" s="2">
        <v>0.005009204614907503</v>
      </c>
      <c r="C13" s="1">
        <v>4</v>
      </c>
      <c r="D13" s="1">
        <v>534</v>
      </c>
      <c r="E13" s="1">
        <v>530</v>
      </c>
      <c r="F13" s="1">
        <v>0</v>
      </c>
      <c r="G13" s="1">
        <v>4</v>
      </c>
      <c r="H13" s="1">
        <v>0</v>
      </c>
    </row>
    <row r="14" spans="1:8">
      <c r="A14" s="1" t="s">
        <v>12</v>
      </c>
      <c r="B14" s="2">
        <v>0.005009204614907503</v>
      </c>
      <c r="C14" s="1">
        <v>4</v>
      </c>
      <c r="D14" s="1">
        <v>236</v>
      </c>
      <c r="E14" s="1">
        <v>232</v>
      </c>
      <c r="F14" s="1">
        <v>0</v>
      </c>
      <c r="G14" s="1">
        <v>4</v>
      </c>
      <c r="H14" s="1">
        <v>0</v>
      </c>
    </row>
    <row r="35" spans="1:8">
      <c r="A35" t="s">
        <v>34</v>
      </c>
      <c r="B35">
        <f>SUBTOTAL(109,[ram_percent])</f>
        <v>0</v>
      </c>
      <c r="C35">
        <f>SUBTOTAL(109,[ram])</f>
        <v>0</v>
      </c>
      <c r="D35">
        <f>SUBTOTAL(109,[flash])</f>
        <v>0</v>
      </c>
      <c r="E35">
        <f>SUBTOTAL(109,[Code])</f>
        <v>0</v>
      </c>
      <c r="F35">
        <f>SUBTOTAL(109,[RO_data])</f>
        <v>0</v>
      </c>
      <c r="G35">
        <f>SUBTOTAL(109,[RW_data])</f>
        <v>0</v>
      </c>
      <c r="H3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5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33</v>
      </c>
      <c r="B2" t="s">
        <v>42</v>
      </c>
      <c r="C2" t="s">
        <v>37</v>
      </c>
      <c r="D2" t="s">
        <v>36</v>
      </c>
      <c r="E2" t="s">
        <v>38</v>
      </c>
      <c r="F2" t="s">
        <v>39</v>
      </c>
      <c r="G2" t="s">
        <v>40</v>
      </c>
      <c r="H2" t="s">
        <v>41</v>
      </c>
    </row>
    <row r="3" spans="1:8">
      <c r="A3" s="1" t="s">
        <v>4</v>
      </c>
      <c r="B3" s="2">
        <v>22.12228965759277</v>
      </c>
      <c r="C3" s="1">
        <v>3173</v>
      </c>
      <c r="D3" s="1">
        <v>800</v>
      </c>
      <c r="E3" s="1">
        <v>3130</v>
      </c>
      <c r="F3" s="1">
        <v>43</v>
      </c>
      <c r="G3" s="1">
        <v>0</v>
      </c>
      <c r="H3" s="1">
        <v>800</v>
      </c>
    </row>
    <row r="4" spans="1:8">
      <c r="A4" s="1" t="s">
        <v>5</v>
      </c>
      <c r="B4" s="2">
        <v>13.46998500823975</v>
      </c>
      <c r="C4" s="1">
        <v>1932</v>
      </c>
      <c r="D4" s="1">
        <v>64</v>
      </c>
      <c r="E4" s="1">
        <v>1912</v>
      </c>
      <c r="F4" s="1">
        <v>20</v>
      </c>
      <c r="G4" s="1">
        <v>0</v>
      </c>
      <c r="H4" s="1">
        <v>64</v>
      </c>
    </row>
    <row r="5" spans="1:8">
      <c r="A5" s="1" t="s">
        <v>6</v>
      </c>
      <c r="B5" s="2">
        <v>8.42919921875</v>
      </c>
      <c r="C5" s="1">
        <v>1209</v>
      </c>
      <c r="D5" s="1">
        <v>60</v>
      </c>
      <c r="E5" s="1">
        <v>1188</v>
      </c>
      <c r="F5" s="1">
        <v>21</v>
      </c>
      <c r="G5" s="1">
        <v>0</v>
      </c>
      <c r="H5" s="1">
        <v>60</v>
      </c>
    </row>
    <row r="6" spans="1:8">
      <c r="A6" s="1" t="s">
        <v>8</v>
      </c>
      <c r="B6" s="2">
        <v>7.20211935043335</v>
      </c>
      <c r="C6" s="1">
        <v>1033</v>
      </c>
      <c r="D6" s="1">
        <v>9</v>
      </c>
      <c r="E6" s="1">
        <v>988</v>
      </c>
      <c r="F6" s="1">
        <v>41</v>
      </c>
      <c r="G6" s="1">
        <v>4</v>
      </c>
      <c r="H6" s="1">
        <v>5</v>
      </c>
    </row>
    <row r="7" spans="1:8">
      <c r="A7" s="1" t="s">
        <v>9</v>
      </c>
      <c r="B7" s="2">
        <v>5.061702728271484</v>
      </c>
      <c r="C7" s="1">
        <v>726</v>
      </c>
      <c r="D7" s="1">
        <v>4</v>
      </c>
      <c r="E7" s="1">
        <v>722</v>
      </c>
      <c r="F7" s="1">
        <v>0</v>
      </c>
      <c r="G7" s="1">
        <v>4</v>
      </c>
      <c r="H7" s="1">
        <v>0</v>
      </c>
    </row>
    <row r="8" spans="1:8">
      <c r="A8" s="1" t="s">
        <v>1</v>
      </c>
      <c r="B8" s="2">
        <v>4.629436016082764</v>
      </c>
      <c r="C8" s="1">
        <v>664</v>
      </c>
      <c r="D8" s="1">
        <v>76828</v>
      </c>
      <c r="E8" s="1">
        <v>626</v>
      </c>
      <c r="F8" s="1">
        <v>38</v>
      </c>
      <c r="G8" s="1">
        <v>0</v>
      </c>
      <c r="H8" s="1">
        <v>76828</v>
      </c>
    </row>
    <row r="9" spans="1:8">
      <c r="A9" s="1" t="s">
        <v>7</v>
      </c>
      <c r="B9" s="2">
        <v>4.127449035644531</v>
      </c>
      <c r="C9" s="1">
        <v>592</v>
      </c>
      <c r="D9" s="1">
        <v>24</v>
      </c>
      <c r="E9" s="1">
        <v>592</v>
      </c>
      <c r="F9" s="1">
        <v>0</v>
      </c>
      <c r="G9" s="1">
        <v>0</v>
      </c>
      <c r="H9" s="1">
        <v>24</v>
      </c>
    </row>
    <row r="10" spans="1:8">
      <c r="A10" s="1" t="s">
        <v>13</v>
      </c>
      <c r="B10" s="2">
        <v>4.127449035644531</v>
      </c>
      <c r="C10" s="1">
        <v>592</v>
      </c>
      <c r="D10" s="1">
        <v>0</v>
      </c>
      <c r="E10" s="1">
        <v>592</v>
      </c>
      <c r="F10" s="1">
        <v>0</v>
      </c>
      <c r="G10" s="1">
        <v>0</v>
      </c>
      <c r="H10" s="1">
        <v>0</v>
      </c>
    </row>
    <row r="11" spans="1:8">
      <c r="A11" s="1" t="s">
        <v>2</v>
      </c>
      <c r="B11" s="2">
        <v>3.932231664657593</v>
      </c>
      <c r="C11" s="1">
        <v>564</v>
      </c>
      <c r="D11" s="1">
        <v>1028</v>
      </c>
      <c r="E11" s="1">
        <v>564</v>
      </c>
      <c r="F11" s="1">
        <v>0</v>
      </c>
      <c r="G11" s="1">
        <v>0</v>
      </c>
      <c r="H11" s="1">
        <v>1028</v>
      </c>
    </row>
    <row r="12" spans="1:8">
      <c r="A12" s="1" t="s">
        <v>11</v>
      </c>
      <c r="B12" s="2">
        <v>3.723070383071899</v>
      </c>
      <c r="C12" s="1">
        <v>534</v>
      </c>
      <c r="D12" s="1">
        <v>4</v>
      </c>
      <c r="E12" s="1">
        <v>530</v>
      </c>
      <c r="F12" s="1">
        <v>0</v>
      </c>
      <c r="G12" s="1">
        <v>4</v>
      </c>
      <c r="H12" s="1">
        <v>0</v>
      </c>
    </row>
    <row r="13" spans="1:8">
      <c r="A13" s="1" t="s">
        <v>14</v>
      </c>
      <c r="B13" s="2">
        <v>3.290803909301758</v>
      </c>
      <c r="C13" s="1">
        <v>472</v>
      </c>
      <c r="D13" s="1">
        <v>0</v>
      </c>
      <c r="E13" s="1">
        <v>472</v>
      </c>
      <c r="F13" s="1">
        <v>0</v>
      </c>
      <c r="G13" s="1">
        <v>0</v>
      </c>
      <c r="H13" s="1">
        <v>0</v>
      </c>
    </row>
    <row r="14" spans="1:8">
      <c r="A14" s="1" t="s">
        <v>15</v>
      </c>
      <c r="B14" s="2">
        <v>3.276859760284424</v>
      </c>
      <c r="C14" s="1">
        <v>470</v>
      </c>
      <c r="D14" s="1">
        <v>0</v>
      </c>
      <c r="E14" s="1">
        <v>470</v>
      </c>
      <c r="F14" s="1">
        <v>0</v>
      </c>
      <c r="G14" s="1">
        <v>0</v>
      </c>
      <c r="H14" s="1">
        <v>0</v>
      </c>
    </row>
    <row r="15" spans="1:8">
      <c r="A15" s="1" t="s">
        <v>16</v>
      </c>
      <c r="B15" s="2">
        <v>3.025866270065308</v>
      </c>
      <c r="C15" s="1">
        <v>434</v>
      </c>
      <c r="D15" s="1">
        <v>0</v>
      </c>
      <c r="E15" s="1">
        <v>434</v>
      </c>
      <c r="F15" s="1">
        <v>0</v>
      </c>
      <c r="G15" s="1">
        <v>0</v>
      </c>
      <c r="H15" s="1">
        <v>0</v>
      </c>
    </row>
    <row r="16" spans="1:8">
      <c r="A16" s="1" t="s">
        <v>3</v>
      </c>
      <c r="B16" s="2">
        <v>2.984034061431885</v>
      </c>
      <c r="C16" s="1">
        <v>428</v>
      </c>
      <c r="D16" s="1">
        <v>1024</v>
      </c>
      <c r="E16" s="1">
        <v>36</v>
      </c>
      <c r="F16" s="1">
        <v>392</v>
      </c>
      <c r="G16" s="1">
        <v>0</v>
      </c>
      <c r="H16" s="1">
        <v>1024</v>
      </c>
    </row>
    <row r="17" spans="1:8">
      <c r="A17" s="1" t="s">
        <v>17</v>
      </c>
      <c r="B17" s="2">
        <v>2.007948160171509</v>
      </c>
      <c r="C17" s="1">
        <v>288</v>
      </c>
      <c r="D17" s="1">
        <v>0</v>
      </c>
      <c r="E17" s="1">
        <v>280</v>
      </c>
      <c r="F17" s="1">
        <v>8</v>
      </c>
      <c r="G17" s="1">
        <v>0</v>
      </c>
      <c r="H17" s="1">
        <v>0</v>
      </c>
    </row>
    <row r="18" spans="1:8">
      <c r="A18" s="1" t="s">
        <v>18</v>
      </c>
      <c r="B18" s="2">
        <v>1.910339593887329</v>
      </c>
      <c r="C18" s="1">
        <v>274</v>
      </c>
      <c r="D18" s="1">
        <v>0</v>
      </c>
      <c r="E18" s="1">
        <v>274</v>
      </c>
      <c r="F18" s="1">
        <v>0</v>
      </c>
      <c r="G18" s="1">
        <v>0</v>
      </c>
      <c r="H18" s="1">
        <v>0</v>
      </c>
    </row>
    <row r="19" spans="1:8">
      <c r="A19" s="1" t="s">
        <v>12</v>
      </c>
      <c r="B19" s="2">
        <v>1.645401954650879</v>
      </c>
      <c r="C19" s="1">
        <v>236</v>
      </c>
      <c r="D19" s="1">
        <v>4</v>
      </c>
      <c r="E19" s="1">
        <v>232</v>
      </c>
      <c r="F19" s="1">
        <v>0</v>
      </c>
      <c r="G19" s="1">
        <v>4</v>
      </c>
      <c r="H19" s="1">
        <v>0</v>
      </c>
    </row>
    <row r="20" spans="1:8">
      <c r="A20" s="1" t="s">
        <v>19</v>
      </c>
      <c r="B20" s="2">
        <v>1.254967570304871</v>
      </c>
      <c r="C20" s="1">
        <v>180</v>
      </c>
      <c r="D20" s="1">
        <v>0</v>
      </c>
      <c r="E20" s="1">
        <v>180</v>
      </c>
      <c r="F20" s="1">
        <v>0</v>
      </c>
      <c r="G20" s="1">
        <v>0</v>
      </c>
      <c r="H20" s="1">
        <v>0</v>
      </c>
    </row>
    <row r="21" spans="1:8">
      <c r="A21" s="1" t="s">
        <v>20</v>
      </c>
      <c r="B21" s="2">
        <v>1.045806288719177</v>
      </c>
      <c r="C21" s="1">
        <v>150</v>
      </c>
      <c r="D21" s="1">
        <v>0</v>
      </c>
      <c r="E21" s="1">
        <v>150</v>
      </c>
      <c r="F21" s="1">
        <v>0</v>
      </c>
      <c r="G21" s="1">
        <v>0</v>
      </c>
      <c r="H21" s="1">
        <v>0</v>
      </c>
    </row>
    <row r="22" spans="1:8">
      <c r="A22" s="1" t="s">
        <v>21</v>
      </c>
      <c r="B22" s="2">
        <v>0.6693160533905029</v>
      </c>
      <c r="C22" s="1">
        <v>96</v>
      </c>
      <c r="D22" s="1">
        <v>0</v>
      </c>
      <c r="E22" s="1">
        <v>96</v>
      </c>
      <c r="F22" s="1">
        <v>0</v>
      </c>
      <c r="G22" s="1">
        <v>0</v>
      </c>
      <c r="H22" s="1">
        <v>0</v>
      </c>
    </row>
    <row r="23" spans="1:8">
      <c r="A23" s="1" t="s">
        <v>22</v>
      </c>
      <c r="B23" s="2">
        <v>0.3346580266952515</v>
      </c>
      <c r="C23" s="1">
        <v>48</v>
      </c>
      <c r="D23" s="1">
        <v>0</v>
      </c>
      <c r="E23" s="1">
        <v>48</v>
      </c>
      <c r="F23" s="1">
        <v>0</v>
      </c>
      <c r="G23" s="1">
        <v>0</v>
      </c>
      <c r="H23" s="1">
        <v>0</v>
      </c>
    </row>
    <row r="24" spans="1:8">
      <c r="A24" s="1" t="s">
        <v>23</v>
      </c>
      <c r="B24" s="2">
        <v>0.3067698478698731</v>
      </c>
      <c r="C24" s="1">
        <v>44</v>
      </c>
      <c r="D24" s="1">
        <v>0</v>
      </c>
      <c r="E24" s="1">
        <v>44</v>
      </c>
      <c r="F24" s="1">
        <v>0</v>
      </c>
      <c r="G24" s="1">
        <v>0</v>
      </c>
      <c r="H24" s="1">
        <v>0</v>
      </c>
    </row>
    <row r="25" spans="1:8">
      <c r="A25" s="1" t="s">
        <v>24</v>
      </c>
      <c r="B25" s="2">
        <v>0.2509935200214386</v>
      </c>
      <c r="C25" s="1">
        <v>36</v>
      </c>
      <c r="D25" s="1">
        <v>0</v>
      </c>
      <c r="E25" s="1">
        <v>36</v>
      </c>
      <c r="F25" s="1">
        <v>0</v>
      </c>
      <c r="G25" s="1">
        <v>0</v>
      </c>
      <c r="H25" s="1">
        <v>0</v>
      </c>
    </row>
    <row r="26" spans="1:8">
      <c r="A26" s="1" t="s">
        <v>25</v>
      </c>
      <c r="B26" s="2">
        <v>0.2509935200214386</v>
      </c>
      <c r="C26" s="1">
        <v>36</v>
      </c>
      <c r="D26" s="1">
        <v>0</v>
      </c>
      <c r="E26" s="1">
        <v>36</v>
      </c>
      <c r="F26" s="1">
        <v>0</v>
      </c>
      <c r="G26" s="1">
        <v>0</v>
      </c>
      <c r="H26" s="1">
        <v>0</v>
      </c>
    </row>
    <row r="27" spans="1:8">
      <c r="A27" s="1" t="s">
        <v>26</v>
      </c>
      <c r="B27" s="2">
        <v>0.2509935200214386</v>
      </c>
      <c r="C27" s="1">
        <v>36</v>
      </c>
      <c r="D27" s="1">
        <v>0</v>
      </c>
      <c r="E27" s="1">
        <v>36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0.2091612666845322</v>
      </c>
      <c r="C28" s="1">
        <v>30</v>
      </c>
      <c r="D28" s="1">
        <v>0</v>
      </c>
      <c r="E28" s="1">
        <v>30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0.2091612666845322</v>
      </c>
      <c r="C29" s="1">
        <v>30</v>
      </c>
      <c r="D29" s="1">
        <v>0</v>
      </c>
      <c r="E29" s="1">
        <v>30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0.08366450667381287</v>
      </c>
      <c r="C30" s="1">
        <v>12</v>
      </c>
      <c r="D30" s="1">
        <v>0</v>
      </c>
      <c r="E30" s="1">
        <v>12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0.05577633529901505</v>
      </c>
      <c r="C31" s="1">
        <v>8</v>
      </c>
      <c r="D31" s="1">
        <v>0</v>
      </c>
      <c r="E31" s="1">
        <v>8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0.05577633529901505</v>
      </c>
      <c r="C32" s="1">
        <v>8</v>
      </c>
      <c r="D32" s="1">
        <v>0</v>
      </c>
      <c r="E32" s="1">
        <v>8</v>
      </c>
      <c r="F32" s="1">
        <v>0</v>
      </c>
      <c r="G32" s="1">
        <v>0</v>
      </c>
      <c r="H32" s="1">
        <v>0</v>
      </c>
    </row>
    <row r="33" spans="1:8">
      <c r="A33" s="1" t="s">
        <v>10</v>
      </c>
      <c r="B33" s="2">
        <v>0.02788816764950752</v>
      </c>
      <c r="C33" s="1">
        <v>4</v>
      </c>
      <c r="D33" s="1">
        <v>4</v>
      </c>
      <c r="E33" s="1">
        <v>0</v>
      </c>
      <c r="F33" s="1">
        <v>0</v>
      </c>
      <c r="G33" s="1">
        <v>4</v>
      </c>
      <c r="H33" s="1">
        <v>0</v>
      </c>
    </row>
    <row r="34" spans="1:8">
      <c r="A34" s="1" t="s">
        <v>32</v>
      </c>
      <c r="B34" s="2">
        <v>0.02788816764950752</v>
      </c>
      <c r="C34" s="1">
        <v>4</v>
      </c>
      <c r="D34" s="1">
        <v>0</v>
      </c>
      <c r="E34" s="1">
        <v>4</v>
      </c>
      <c r="F34" s="1">
        <v>0</v>
      </c>
      <c r="G34" s="1">
        <v>0</v>
      </c>
      <c r="H34" s="1">
        <v>0</v>
      </c>
    </row>
    <row r="35" spans="1:8">
      <c r="A35" t="s">
        <v>34</v>
      </c>
      <c r="B35">
        <f>SUBTOTAL(109,[flash_percent])</f>
        <v>0</v>
      </c>
      <c r="C35">
        <f>SUBTOTAL(109,[flash])</f>
        <v>0</v>
      </c>
      <c r="D35">
        <f>SUBTOTAL(109,[ram])</f>
        <v>0</v>
      </c>
      <c r="E35">
        <f>SUBTOTAL(109,[Code])</f>
        <v>0</v>
      </c>
      <c r="F35">
        <f>SUBTOTAL(109,[RO_data])</f>
        <v>0</v>
      </c>
      <c r="G35">
        <f>SUBTOTAL(109,[RW_data])</f>
        <v>0</v>
      </c>
      <c r="H3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2026-01-14T03:22:01Z</dcterms:created>
  <dcterms:modified xsi:type="dcterms:W3CDTF">2026-01-14T03:22:01Z</dcterms:modified>
</cp:coreProperties>
</file>